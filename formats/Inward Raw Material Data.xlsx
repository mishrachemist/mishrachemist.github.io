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eplplant-my.sharepoint.com/personal/durgesh_mishra_marutisteel_in/Documents/Desktop/"/>
    </mc:Choice>
  </mc:AlternateContent>
  <xr:revisionPtr revIDLastSave="169" documentId="8_{24DA9A70-9292-4B44-B1CC-C4ABB8233670}" xr6:coauthVersionLast="47" xr6:coauthVersionMax="47" xr10:uidLastSave="{2B062D71-A988-494C-AE3F-674C01AC25DF}"/>
  <bookViews>
    <workbookView xWindow="-120" yWindow="-120" windowWidth="20730" windowHeight="11040" xr2:uid="{F1EDFCBE-ADD0-44B5-81E4-3FC909F24DEB}"/>
  </bookViews>
  <sheets>
    <sheet name="Table1" sheetId="3" r:id="rId1"/>
    <sheet name="Sheet1" sheetId="1" r:id="rId2"/>
  </sheets>
  <definedNames>
    <definedName name="ExternalData_1" localSheetId="0" hidden="1">Table1!$A$1:$S$2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1748D7-81F3-488E-A24C-109BE69E9E82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<sst xmlns="http://schemas.openxmlformats.org/spreadsheetml/2006/main" count="42" uniqueCount="28">
  <si>
    <t>Party Name</t>
  </si>
  <si>
    <t>Item Code</t>
  </si>
  <si>
    <t>Item Name</t>
  </si>
  <si>
    <t>GRN NO</t>
  </si>
  <si>
    <t>GRN Date</t>
  </si>
  <si>
    <t>Vehicle NO</t>
  </si>
  <si>
    <t>Reached Qty</t>
  </si>
  <si>
    <t>+150mm</t>
  </si>
  <si>
    <t>+20 MM %</t>
  </si>
  <si>
    <t>-1 MM %</t>
  </si>
  <si>
    <t>-25mm</t>
  </si>
  <si>
    <t>-4 MM %</t>
  </si>
  <si>
    <t>C %</t>
  </si>
  <si>
    <t>Fe(M) %</t>
  </si>
  <si>
    <t>Mn %</t>
  </si>
  <si>
    <t>N.Mag %</t>
  </si>
  <si>
    <t>P %</t>
  </si>
  <si>
    <t>S %</t>
  </si>
  <si>
    <t>Si</t>
  </si>
  <si>
    <t>Min Limit</t>
  </si>
  <si>
    <t>MIN Limit</t>
  </si>
  <si>
    <t>Challan Qty</t>
  </si>
  <si>
    <t xml:space="preserve">C % 
</t>
  </si>
  <si>
    <t xml:space="preserve">Fe(M) %
</t>
  </si>
  <si>
    <t xml:space="preserve">Mn %
</t>
  </si>
  <si>
    <t xml:space="preserve">N.Mag %
</t>
  </si>
  <si>
    <t xml:space="preserve">P %
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</si>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</sst>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2" xfId="0" applyNumberFormat="1" applyBorder="1"/>
    <xf numFmtId="0" fontId="0" fillId="0" borderId="3" xfId="0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39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30" formatCode="@"/>
      <border diagonalUp="0" diagonalDown="0">
        <left/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outline="0">
        <top style="dashed">
          <color indexed="64"/>
        </top>
      </border>
    </dxf>
    <dxf>
      <border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border outline="0">
        <bottom style="dash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indexed="43"/>
        </patternFill>
      </fill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5652CF-4969-4845-8409-691EC703FF18}" autoFormatId="16" applyNumberFormats="0" applyBorderFormats="0" applyFontFormats="0" applyPatternFormats="0" applyAlignmentFormats="0" applyWidthHeightFormats="0">
  <queryTableRefresh nextId="44" unboundColumnsRight="1">
    <queryTableFields count="20">
      <queryTableField id="11" name="Party Name" tableColumnId="11"/>
      <queryTableField id="12" name="Item Code" tableColumnId="12"/>
      <queryTableField id="13" name="Item Name" tableColumnId="13"/>
      <queryTableField id="1" name="GRN NO" tableColumnId="1"/>
      <queryTableField id="2" name="GRN Date" tableColumnId="2"/>
      <queryTableField id="3" name="Vehicle NO" tableColumnId="3"/>
      <queryTableField id="23" name="Reached Qty" tableColumnId="15"/>
      <queryTableField id="30" name="+150mm" tableColumnId="19"/>
      <queryTableField id="31" name="+20 MM %" tableColumnId="20"/>
      <queryTableField id="32" name="-1 MM %" tableColumnId="21"/>
      <queryTableField id="33" name="-25mm" tableColumnId="22"/>
      <queryTableField id="34" name="-4 MM %" tableColumnId="23"/>
      <queryTableField id="6" name="C %" tableColumnId="6"/>
      <queryTableField id="7" name="Fe(M) %" tableColumnId="7"/>
      <queryTableField id="8" name="Mn %" tableColumnId="8"/>
      <queryTableField id="9" name="N.Mag %" tableColumnId="9"/>
      <queryTableField id="4" name="P %" tableColumnId="4"/>
      <queryTableField id="10" name="S %" tableColumnId="10"/>
      <queryTableField id="5" name="Si" tableColumnId="5"/>
      <queryTableField id="26" dataBound="0" tableColumnId="1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FF56D-6B7D-4856-8ED9-E5A607902555}" name="Table1_2" displayName="Table1_2" ref="A1:T2" tableType="queryTable" totalsRowShown="0">
  <autoFilter ref="A1:T2" xr:uid="{DA4FF56D-6B7D-4856-8ED9-E5A607902555}"/>
  <tableColumns count="20">
    <tableColumn id="11" xr3:uid="{7703349A-65A1-4675-AEA4-4BAF631523DD}" uniqueName="11" name="Party Name" queryTableFieldId="11" dataDxfId="12"/>
    <tableColumn id="12" xr3:uid="{46C31C16-5278-480F-B045-819B0B4E4B9A}" uniqueName="12" name="Item Code" queryTableFieldId="12" dataDxfId="11"/>
    <tableColumn id="13" xr3:uid="{759D511B-BC33-4208-B164-16DE4DB6BBFC}" uniqueName="13" name="Item Name" queryTableFieldId="13" dataDxfId="10"/>
    <tableColumn id="1" xr3:uid="{CC786A99-26EE-44A4-BD35-5683376F5C31}" uniqueName="1" name="GRN NO" queryTableFieldId="1"/>
    <tableColumn id="2" xr3:uid="{BDC5D062-32AB-45E2-AEF0-38FEC439BA9A}" uniqueName="2" name="GRN Date" queryTableFieldId="2" dataDxfId="9"/>
    <tableColumn id="3" xr3:uid="{DC3B2FC8-70DE-4E28-BD8A-FB48F8572A5A}" uniqueName="3" name="Vehicle NO" queryTableFieldId="3"/>
    <tableColumn id="15" xr3:uid="{8E4575C2-2940-416D-83E1-2CC0B907C49D}" uniqueName="15" name="Reached Qty" queryTableFieldId="23" dataDxfId="8"/>
    <tableColumn id="19" xr3:uid="{8828E196-D2D4-4EA6-BD39-FA328A98F4BC}" uniqueName="19" name="+150mm" queryTableFieldId="30"/>
    <tableColumn id="20" xr3:uid="{79C63D18-9826-456A-BFF6-C3381C955577}" uniqueName="20" name="+20 MM %" queryTableFieldId="31"/>
    <tableColumn id="21" xr3:uid="{2ECB3B73-FF0D-44C2-87A5-A193315D4950}" uniqueName="21" name="-1 MM %" queryTableFieldId="32"/>
    <tableColumn id="22" xr3:uid="{A382ABD1-A8B4-4F4B-B072-BBBBE817D1EA}" uniqueName="22" name="-25mm" queryTableFieldId="33"/>
    <tableColumn id="23" xr3:uid="{1B5D0905-99F6-44D4-9913-5687B46089FE}" uniqueName="23" name="-4 MM %" queryTableFieldId="34"/>
    <tableColumn id="6" xr3:uid="{FCE1A834-3DCD-45A2-87C9-B61BD9BF6506}" uniqueName="6" name="C %" queryTableFieldId="6" dataDxfId="7"/>
    <tableColumn id="7" xr3:uid="{15CE1D69-955C-4B05-8ACB-C81FE5DB1652}" uniqueName="7" name="Fe(M) %" queryTableFieldId="7" dataDxfId="6"/>
    <tableColumn id="8" xr3:uid="{5C095A66-930E-4E21-949A-503DBE84245A}" uniqueName="8" name="Mn %" queryTableFieldId="8" dataDxfId="5"/>
    <tableColumn id="9" xr3:uid="{C95D3917-262F-434E-AD39-83648912808B}" uniqueName="9" name="N.Mag %" queryTableFieldId="9" dataDxfId="4"/>
    <tableColumn id="4" xr3:uid="{B4E85994-EB30-4D23-A5CC-13A67E06DFBF}" uniqueName="4" name="P %" queryTableFieldId="4" dataDxfId="3"/>
    <tableColumn id="10" xr3:uid="{8A0C8197-2D88-46B9-82A5-936F1546195F}" uniqueName="10" name="S %" queryTableFieldId="10" dataDxfId="2"/>
    <tableColumn id="5" xr3:uid="{A50DE16F-9637-4E82-9D69-EC27CAA0F526}" uniqueName="5" name="Si" queryTableFieldId="5" dataDxfId="1"/>
    <tableColumn id="16" xr3:uid="{0E64EBCF-8D77-4787-89B8-9491887DFDDC}" uniqueName="16" name="Min Limit" queryTableFieldId="26" dataDxfId="0">
      <calculatedColumnFormula>V2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5559B-C79F-46A9-864C-8BD1AD9BACB4}" name="Table1" displayName="Table1" ref="A1:V1048576" totalsRowShown="0" headerRowDxfId="38" headerRowBorderDxfId="37" tableBorderDxfId="36" totalsRowBorderDxfId="35">
  <tableColumns count="22">
    <tableColumn id="1" xr3:uid="{73CC5363-17C3-4BFE-B2CC-4E6224FDA4C0}" name="Party Name" dataDxfId="34"/>
    <tableColumn id="2" xr3:uid="{BBBB9249-8C84-43F0-95DF-DB128BABCDB7}" name="Item Code" dataDxfId="33"/>
    <tableColumn id="3" xr3:uid="{CE31E122-4770-4D23-BB1F-1EB8774C55A6}" name="Item Name" dataDxfId="32"/>
    <tableColumn id="4" xr3:uid="{2E2156D0-4E48-4947-9EC0-553967E9718B}" name="GRN NO" dataDxfId="31"/>
    <tableColumn id="5" xr3:uid="{D44D6C3A-8AA0-41A4-8A59-FBEFC091E730}" name="GRN Date" dataDxfId="30"/>
    <tableColumn id="6" xr3:uid="{68F6FF08-13A3-47F6-ADEA-AA4AA7AFF78E}" name="MIN Limit" dataDxfId="29"/>
    <tableColumn id="7" xr3:uid="{F1668287-5B6A-4D71-A0D3-E56591647958}" name="Vehicle NO" dataDxfId="28"/>
    <tableColumn id="9" xr3:uid="{F490DA3E-0D77-44A0-B3FB-5406AFED209F}" name="Challan Qty" dataDxfId="27"/>
    <tableColumn id="10" xr3:uid="{1F5CCA1B-2C57-414D-83FE-FC87F476B4FE}" name="Reached Qty" dataDxfId="26"/>
    <tableColumn id="11" xr3:uid="{4611D751-BE3C-4759-92D8-2DF082C80161}" name="+150mm" dataDxfId="25"/>
    <tableColumn id="12" xr3:uid="{6C6A2226-8A7B-4E49-BA42-972D6A070B28}" name="+20 MM %" dataDxfId="24"/>
    <tableColumn id="13" xr3:uid="{8EE5CD01-A6C2-4898-A423-08C9940F93EC}" name="-1 MM %" dataDxfId="23"/>
    <tableColumn id="14" xr3:uid="{57EE4B5D-09CB-4203-914F-75BE8681664B}" name="-25mm" dataDxfId="22"/>
    <tableColumn id="15" xr3:uid="{251866C8-0EAA-4F0F-B310-40A148E7F3B3}" name="-4 MM %" dataDxfId="21"/>
    <tableColumn id="16" xr3:uid="{95CE5A00-E7B5-412C-9771-21E688512C44}" name="C % _x000a_" dataDxfId="20"/>
    <tableColumn id="17" xr3:uid="{75CA2F23-54AF-4576-A2F9-84F8A86B5124}" name="Fe(M) %_x000a_" dataDxfId="19"/>
    <tableColumn id="18" xr3:uid="{C9E5BA44-C45A-4B37-8D8B-6BC7F28C3C0A}" name="Mn %_x000a_" dataDxfId="18"/>
    <tableColumn id="19" xr3:uid="{CD4776D9-4D9E-4FCF-9418-887768A12C2C}" name="N.Mag %_x000a_" dataDxfId="17"/>
    <tableColumn id="20" xr3:uid="{7AD694C0-9F75-4B77-944F-AC3A19EBEDDB}" name="P %_x000a_" dataDxfId="16"/>
    <tableColumn id="21" xr3:uid="{93E38E89-2387-4343-B807-C1C07B5AE73E}" name="S %" dataDxfId="15"/>
    <tableColumn id="22" xr3:uid="{5D0CD08F-EBDE-4F51-ADD9-6555F8D6B6EC}" name="Si" dataDxfId="14"/>
    <tableColumn id="23" xr3:uid="{D5858044-83FA-47FE-8DF7-DB10D0F3488A}" name="Column1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B99E-B8DC-44B2-B5AD-7BE9577DB379}">
  <dimension ref="A1:V2"/>
  <sheetViews>
    <sheetView tabSelected="1" zoomScaleNormal="100" workbookViewId="0">
      <selection activeCell="U3" sqref="U3"/>
    </sheetView>
  </sheetViews>
  <sheetFormatPr defaultRowHeight="15" x14ac:dyDescent="0.25"/>
  <cols>
    <col min="1" max="1" width="49.7109375" bestFit="1" customWidth="1"/>
    <col min="2" max="2" width="12.42578125" bestFit="1" customWidth="1"/>
    <col min="3" max="3" width="17.85546875" customWidth="1"/>
    <col min="4" max="4" width="12.7109375" customWidth="1"/>
    <col min="5" max="5" width="11.85546875" bestFit="1" customWidth="1"/>
    <col min="6" max="6" width="13.28515625" bestFit="1" customWidth="1"/>
    <col min="7" max="7" width="14.42578125" bestFit="1" customWidth="1"/>
    <col min="8" max="8" width="10.7109375" bestFit="1" customWidth="1"/>
    <col min="9" max="9" width="12.42578125" bestFit="1" customWidth="1"/>
    <col min="10" max="10" width="11.140625" bestFit="1" customWidth="1"/>
    <col min="11" max="11" width="9.42578125" bestFit="1" customWidth="1"/>
    <col min="12" max="12" width="11.140625" bestFit="1" customWidth="1"/>
    <col min="13" max="13" width="6.42578125" bestFit="1" customWidth="1"/>
    <col min="14" max="14" width="10.7109375" bestFit="1" customWidth="1"/>
    <col min="15" max="15" width="8.28515625" bestFit="1" customWidth="1"/>
    <col min="16" max="16" width="11.140625" bestFit="1" customWidth="1"/>
    <col min="17" max="17" width="6.42578125" bestFit="1" customWidth="1"/>
    <col min="18" max="18" width="6.28515625" bestFit="1" customWidth="1"/>
    <col min="19" max="19" width="6" bestFit="1" customWidth="1"/>
    <col min="20" max="20" width="11.7109375" style="15" bestFit="1" customWidth="1"/>
    <col min="21" max="21" width="9.42578125" bestFit="1" customWidth="1"/>
    <col min="22" max="22" width="6" customWidth="1"/>
    <col min="23" max="23" width="9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5" t="s">
        <v>19</v>
      </c>
    </row>
    <row r="2" spans="1:22" x14ac:dyDescent="0.25">
      <c r="T2" s="15">
        <f t="shared" ref="T2:T2" si="0">V2</f>
      </c>
      <c r="V2" s="14" cm="1">
        <f t="array" ref="V2">_xlfn.LET(_xlpm.P,TRIM(A2),_xlpm.I,TRIM(C2),_xlpm.D,E2,_xlpm.N,N2,
IF(_xlpm.I="SPONGE IRON LUM",79,
IF(_xlpm.I="SILICO MANGANES",60,
IF(_xlpm.I&lt;&gt;"SPONGE IRON FIN","",
IF(_xlpm.D&gt;=DATE(2026,3,1),
_xlfn.IFS(
_xlpm.P="S V MINES AND MINERALS","72",
OR(_xlpm.P="RANGINENI STEEL AND POWER PRIVATE LIMITED",_xlpm.P="RANGINENI STEEL PRIVATE LIMITED",_xlpm.P="MAHAMANAV ISPAT PRIVATE LIMITED",_xlpm.P="SHIVA ENTERPRISES",_xlpm.P="PVSR Steel and Power Private Limited",_xlpm.P="SHREE PADMANABH ISPAT PRIVATE LIMITED",_xlpm.P="SRI SATYAM ISPAT INDUSTRIES INDIA PRIVATE LIMITED",_xlpm.P="SHARMA STEELS",_xlpm.P="RASHI STEEL TRADERS",_xlpm.P="MARUTI TRADERS",_xlpm.P="YESHASHVI STEELS &amp; ALLOYS PVT LTD.",_xlpm.P="MEGHA MARKETING",_xlpm.P="KRISHIV STEELS PRIVATE LIMITED"),"70",
TRUE,IF(_xlpm.N&lt;=70,"70","72")
),
IF(_xlpm.D&gt;=DATE(2025,4,1),
_xlfn.IFS(
OR(_xlpm.P="RANGINENI STEEL AND POWER PRIVATE LIMITED",_xlpm.P="RANGINENI STEEL PRIVATE LIMITED",_xlpm.P="MAHAMANAV ISPAT PRIVATE LIMITED",_xlpm.P="SHREE GANESH TRADING"),IF(_xlpm.N&lt;=70,"70","72"),
OR(_xlpm.P="TUNICS SPONGE PRIVATE LIMITED",_xlpm.P="BHADRASHREE STEEL &amp; POWER LIMITED",_xlpm.P="NOBLE ISPAT &amp; ENERGIES LIMITED",_xlpm.P="SHIRDI SAI STEELS PVT LTD",_xlpm.P="S V MINES AND MINERALS"),"73",
OR(_xlpm.P="RAM SHYAM ENTERPRISES PRIVATE LIMITED",_xlpm.P="AARAL MARKETING"),"72",
OR(_xlpm.P="SHREE KANKANI STEELS PRIVATE LIMITED",_xlpm.P="SRI HARI SPONGE LLP",_xlpm.P="PVSR Steel and Power Private Limited",_xlpm.P="SD CORP",_xlpm.P="KRISHIV STEELS PRIVATE LIMITED",_xlpm.P="SRI RAMANJANEYA ISPAT PVT LTD",_xlpm.P="SRI SATYAM ISPAT INDUSTRIES INDIA PRIVATE LIMITED",_xlpm.P="SHIVA ENTERPRISES"),"70",
TRUE,IF(_xlpm.N&lt;=70,"70","72")
),
_xlfn.IFS(
OR(_xlpm.P="KOTHARI ISPAT",_xlpm.P="TUNICS SPONGE PRIVATE LIMITED",_xlpm.P="BHADRASHREE STEEL &amp; POWER LIMITED"),"74",
OR(_xlpm.P="MAHRISHI MINERALS",_xlpm.P="RAJENDER METALLIC"),"73",
_xlpm.P="RAM SHYAM ENTERPRISES PRIVATE LIMITED","72",
_xlpm.P="RANGINENI STEEL AND POWER PRIVATE LIMITED",IF(_xlpm.N&lt;=72,"72","74"),
_xlpm.P="RANGINENI STEEL PRIVATE LIMITED",IF(_xlpm.N&lt;=72,"72","74"),
_xlpm.P="RADHA METALS PRIVATE LIMITED",IF(_xlpm.N&lt;=72,"72","73"),
TRUE,IF(_xlpm.N&lt;=70,"70","72")
)
))))))</f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BF3A-0020-4B11-B921-A5672F5C17ED}">
  <dimension ref="A1:V1048576"/>
  <sheetViews>
    <sheetView topLeftCell="E1" workbookViewId="0">
      <selection activeCell="V1" sqref="V1:V1048576"/>
    </sheetView>
  </sheetViews>
  <sheetFormatPr defaultRowHeight="15" x14ac:dyDescent="0.25"/>
  <cols>
    <col min="1" max="1" width="49.7109375" bestFit="1" customWidth="1"/>
    <col min="2" max="2" width="10.140625" bestFit="1" customWidth="1"/>
    <col min="3" max="3" width="17.85546875" bestFit="1" customWidth="1"/>
    <col min="4" max="4" width="12.7109375" bestFit="1" customWidth="1"/>
    <col min="5" max="5" width="10.42578125" bestFit="1" customWidth="1"/>
    <col min="6" max="6" width="9.7109375" bestFit="1" customWidth="1"/>
    <col min="7" max="7" width="13.140625" bestFit="1" customWidth="1"/>
    <col min="8" max="8" width="11.85546875" bestFit="1" customWidth="1"/>
    <col min="9" max="9" width="11.140625" bestFit="1" customWidth="1"/>
    <col min="10" max="10" width="12.140625" bestFit="1" customWidth="1"/>
    <col min="11" max="11" width="8.42578125" bestFit="1" customWidth="1"/>
    <col min="12" max="12" width="10.140625" bestFit="1" customWidth="1"/>
    <col min="13" max="14" width="9" bestFit="1" customWidth="1"/>
    <col min="15" max="15" width="10.140625" bestFit="1" customWidth="1"/>
    <col min="16" max="16" width="7.85546875" bestFit="1" customWidth="1"/>
    <col min="17" max="17" width="11.28515625" bestFit="1" customWidth="1"/>
    <col min="18" max="18" width="9" bestFit="1" customWidth="1"/>
    <col min="19" max="19" width="10.140625" bestFit="1" customWidth="1"/>
    <col min="20" max="21" width="9" bestFit="1" customWidth="1"/>
    <col min="22" max="23" width="8.85546875" bestFit="1" customWidth="1"/>
    <col min="24" max="72" width="1.5703125" bestFit="1" customWidth="1"/>
  </cols>
  <sheetData>
    <row r="1" spans="1:22" s="12" customFormat="1" x14ac:dyDescent="0.25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20</v>
      </c>
      <c r="G1" s="9" t="s">
        <v>5</v>
      </c>
      <c r="H1" s="9" t="s">
        <v>21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22</v>
      </c>
      <c r="P1" s="9" t="s">
        <v>23</v>
      </c>
      <c r="Q1" s="9" t="s">
        <v>24</v>
      </c>
      <c r="R1" s="9" t="s">
        <v>25</v>
      </c>
      <c r="S1" s="9" t="s">
        <v>26</v>
      </c>
      <c r="T1" s="9" t="s">
        <v>17</v>
      </c>
      <c r="U1" s="11" t="s">
        <v>18</v>
      </c>
      <c r="V1" t="s">
        <v>27</v>
      </c>
    </row>
    <row r="2" spans="1:22" x14ac:dyDescent="0.25">
      <c r="V2" s="14" cm="1">
        <f t="array" ref="V2">_xlfn.LET(_xlpm.P,TRIM(A2),_xlpm.I,TRIM(C2),_xlpm.D,E2,_xlpm.N,N2,
IF(_xlpm.I="SPONGE IRON LUM",79,
IF(_xlpm.I="SILICO MANGANES",60,
IF(_xlpm.I&lt;&gt;"SPONGE IRON FIN","",
IF(_xlpm.D&gt;=DATE(2026,3,1),
_xlfn.IFS(
_xlpm.P="S V MINES AND MINERALS","72",
OR(_xlpm.P="RANGINENI STEEL AND POWER PRIVATE LIMITED",_xlpm.P="RANGINENI STEEL PRIVATE LIMITED",_xlpm.P="MAHAMANAV ISPAT PRIVATE LIMITED",_xlpm.P="SHIVA ENTERPRISES",_xlpm.P="PVSR Steel and Power Private Limited",_xlpm.P="SHREE PADMANABH ISPAT PRIVATE LIMITED",_xlpm.P="SRI SATYAM ISPAT INDUSTRIES INDIA PRIVATE LIMITED",_xlpm.P="SHARMA STEELS",_xlpm.P="RASHI STEEL TRADERS",_xlpm.P="MARUTI TRADERS",_xlpm.P="YESHASHVI STEELS &amp; ALLOYS PVT LTD.",_xlpm.P="MEGHA MARKETING",_xlpm.P="KRISHIV STEELS PRIVATE LIMITED"),"70",
TRUE,IF(_xlpm.N&lt;=70,"70","72")
),
IF(_xlpm.D&gt;=DATE(2025,4,1),
_xlfn.IFS(
OR(_xlpm.P="RANGINENI STEEL AND POWER PRIVATE LIMITED",_xlpm.P="RANGINENI STEEL PRIVATE LIMITED",_xlpm.P="MAHAMANAV ISPAT PRIVATE LIMITED",_xlpm.P="SHREE GANESH TRADING"),IF(_xlpm.N&lt;=70,"70","72"),
OR(_xlpm.P="TUNICS SPONGE PRIVATE LIMITED",_xlpm.P="BHADRASHREE STEEL &amp; POWER LIMITED",_xlpm.P="NOBLE ISPAT &amp; ENERGIES LIMITED",_xlpm.P="SHIRDI SAI STEELS PVT LTD",_xlpm.P="S V MINES AND MINERALS"),"73",
OR(_xlpm.P="RAM SHYAM ENTERPRISES PRIVATE LIMITED",_xlpm.P="AARAL MARKETING"),"72",
OR(_xlpm.P="SHREE KANKANI STEELS PRIVATE LIMITED",_xlpm.P="SRI HARI SPONGE LLP",_xlpm.P="PVSR Steel and Power Private Limited",_xlpm.P="SD CORP",_xlpm.P="KRISHIV STEELS PRIVATE LIMITED",_xlpm.P="SRI RAMANJANEYA ISPAT PVT LTD",_xlpm.P="SRI SATYAM ISPAT INDUSTRIES INDIA PRIVATE LIMITED",_xlpm.P="SHIVA ENTERPRISES"),"70",
TRUE,IF(_xlpm.N&lt;=70,"70","72")
),
_xlfn.IFS(
OR(_xlpm.P="KOTHARI ISPAT",_xlpm.P="TUNICS SPONGE PRIVATE LIMITED",_xlpm.P="BHADRASHREE STEEL &amp; POWER LIMITED"),"74",
OR(_xlpm.P="MAHRISHI MINERALS",_xlpm.P="RAJENDER METALLIC"),"73",
_xlpm.P="RAM SHYAM ENTERPRISES PRIVATE LIMITED","72",
_xlpm.P="RANGINENI STEEL AND POWER PRIVATE LIMITED",IF(_xlpm.N&lt;=72,"72","74"),
_xlpm.P="RANGINENI STEEL PRIVATE LIMITED",IF(_xlpm.N&lt;=72,"72","74"),
_xlpm.P="RADHA METALS PRIVATE LIMITED",IF(_xlpm.N&lt;=72,"72","73"),
TRUE,IF(_xlpm.N&lt;=70,"70","72")
)
))))))</f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E54B32-A747-46C7-B29F-E2A9CE793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Reports</dc:creator>
  <cp:lastModifiedBy>SMS Reports</cp:lastModifiedBy>
  <dcterms:created xsi:type="dcterms:W3CDTF">2026-06-18T09:40:08Z</dcterms:created>
  <dcterms:modified xsi:type="dcterms:W3CDTF">2026-10-03T11:09:42Z</dcterms:modified>
</cp:coreProperties>
</file>